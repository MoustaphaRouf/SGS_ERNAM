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RCHIVES_PC-BUREAU_APR_2026\BLACK_KEY\Academie\SMS_ERNAM\Modifiable\TD\"/>
    </mc:Choice>
  </mc:AlternateContent>
  <xr:revisionPtr revIDLastSave="0" documentId="13_ncr:1_{70D8518C-7AB6-4D5E-AB36-5DFE3A89626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12" i="1"/>
  <c r="D11" i="1"/>
  <c r="D10" i="1"/>
  <c r="D9" i="1"/>
  <c r="D8" i="1"/>
  <c r="D7" i="1"/>
  <c r="D6" i="1"/>
  <c r="D5" i="1"/>
  <c r="D13" i="1" l="1"/>
  <c r="E13" i="1" s="1"/>
</calcChain>
</file>

<file path=xl/sharedStrings.xml><?xml version="1.0" encoding="utf-8"?>
<sst xmlns="http://schemas.openxmlformats.org/spreadsheetml/2006/main" count="17" uniqueCount="17">
  <si>
    <t>QUESTIONS</t>
  </si>
  <si>
    <t>REPONSE</t>
  </si>
  <si>
    <t>SCORING</t>
  </si>
  <si>
    <t>Contenu du changement</t>
  </si>
  <si>
    <t>Organismes concernés en interne</t>
  </si>
  <si>
    <t>Organismes concernés en externe (multi-sites ou transverses)</t>
  </si>
  <si>
    <t>Ampleur des modifications introduites sur les procédures du système</t>
  </si>
  <si>
    <t>Ampleur des modifications introduite sur les équipements du système</t>
  </si>
  <si>
    <t>Influence sur les méthodes de travail sol</t>
  </si>
  <si>
    <t>Influence sur les méthodes de travail bord</t>
  </si>
  <si>
    <t>Contraintes environnementales</t>
  </si>
  <si>
    <t>Niveau d’expérience sur un dossier similaire</t>
  </si>
  <si>
    <t>CONCLUSION ANALYSE</t>
  </si>
  <si>
    <t>Impact cumulé</t>
  </si>
  <si>
    <t>N°Critère</t>
  </si>
  <si>
    <t>Justification</t>
  </si>
  <si>
    <t xml:space="preserve">CHANGEMENT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</si>
</sst>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2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10" zoomScaleNormal="110" zoomScalePageLayoutView="110" workbookViewId="0">
      <selection activeCell="E5" sqref="E5"/>
    </sheetView>
  </sheetViews>
  <sheetFormatPr baseColWidth="10" defaultRowHeight="14.5" x14ac:dyDescent="0.35"/>
  <cols>
    <col min="1" max="1" width="16" customWidth="1"/>
    <col min="2" max="2" width="54.7265625" customWidth="1"/>
    <col min="3" max="3" width="33" customWidth="1"/>
    <col min="4" max="4" width="14.26953125" customWidth="1"/>
    <col min="5" max="5" width="38.81640625" customWidth="1"/>
  </cols>
  <sheetData>
    <row r="1" spans="1:5" ht="21" x14ac:dyDescent="0.5">
      <c r="B1" s="10" t="s">
        <v>16</v>
      </c>
      <c r="C1" s="11"/>
      <c r="D1" s="11"/>
      <c r="E1" s="12"/>
    </row>
    <row r="2" spans="1:5" ht="21" x14ac:dyDescent="0.5">
      <c r="B2" s="1"/>
      <c r="C2" s="1"/>
      <c r="D2" s="1"/>
      <c r="E2" s="1"/>
    </row>
    <row r="3" spans="1:5" ht="21" x14ac:dyDescent="0.5">
      <c r="A3" s="7" t="s">
        <v>14</v>
      </c>
      <c r="B3" s="2" t="s">
        <v>0</v>
      </c>
      <c r="C3" s="2" t="s">
        <v>1</v>
      </c>
      <c r="D3" s="2" t="s">
        <v>2</v>
      </c>
      <c r="E3" s="2" t="s">
        <v>15</v>
      </c>
    </row>
    <row r="4" spans="1:5" ht="21.5" thickBot="1" x14ac:dyDescent="0.55000000000000004">
      <c r="A4" s="8">
        <v>1</v>
      </c>
      <c r="B4" s="3" t="s">
        <v>3</v>
      </c>
      <c r="C4" s="4"/>
      <c r="D4" s="5">
        <f>IF(C4="Risques liés à la manipulation de mise en œuvre",0,2)</f>
        <v>2</v>
      </c>
      <c r="E4" s="9"/>
    </row>
    <row r="5" spans="1:5" ht="34.5" customHeight="1" thickBot="1" x14ac:dyDescent="0.55000000000000004">
      <c r="A5" s="8">
        <v>2</v>
      </c>
      <c r="B5" s="3" t="s">
        <v>4</v>
      </c>
      <c r="C5" s="5"/>
      <c r="D5" s="5">
        <f>IF(C5&lt;3,0,IF(C5&lt;5,2,4))</f>
        <v>0</v>
      </c>
      <c r="E5" s="9"/>
    </row>
    <row r="6" spans="1:5" ht="52.5" customHeight="1" thickBot="1" x14ac:dyDescent="0.55000000000000004">
      <c r="A6" s="8">
        <v>3</v>
      </c>
      <c r="B6" s="3" t="s">
        <v>5</v>
      </c>
      <c r="C6" s="5"/>
      <c r="D6" s="5">
        <f>IF(C6&lt;2,0,IF(C6&lt;4,2,4))</f>
        <v>0</v>
      </c>
      <c r="E6" s="9"/>
    </row>
    <row r="7" spans="1:5" ht="49.5" customHeight="1" thickBot="1" x14ac:dyDescent="0.55000000000000004">
      <c r="A7" s="8">
        <v>4</v>
      </c>
      <c r="B7" s="3" t="s">
        <v>6</v>
      </c>
      <c r="C7" s="5"/>
      <c r="D7" s="5">
        <f>IF(C7="Légère",0,IF(C7="Moyenne",2,4))</f>
        <v>4</v>
      </c>
      <c r="E7" s="9"/>
    </row>
    <row r="8" spans="1:5" ht="46.5" customHeight="1" thickBot="1" x14ac:dyDescent="0.55000000000000004">
      <c r="A8" s="8">
        <v>5</v>
      </c>
      <c r="B8" s="3" t="s">
        <v>7</v>
      </c>
      <c r="C8" s="5"/>
      <c r="D8" s="5">
        <f t="shared" ref="D8:D11" si="0">IF(C8="Légère",0,IF(C8="Moyenne",2,4))</f>
        <v>4</v>
      </c>
      <c r="E8" s="9"/>
    </row>
    <row r="9" spans="1:5" ht="42" customHeight="1" thickBot="1" x14ac:dyDescent="0.55000000000000004">
      <c r="A9" s="8">
        <v>6</v>
      </c>
      <c r="B9" s="6" t="s">
        <v>8</v>
      </c>
      <c r="C9" s="5"/>
      <c r="D9" s="5">
        <f t="shared" si="0"/>
        <v>4</v>
      </c>
      <c r="E9" s="9"/>
    </row>
    <row r="10" spans="1:5" ht="28.5" customHeight="1" thickBot="1" x14ac:dyDescent="0.55000000000000004">
      <c r="A10" s="8">
        <v>7</v>
      </c>
      <c r="B10" s="6" t="s">
        <v>9</v>
      </c>
      <c r="C10" s="5"/>
      <c r="D10" s="5">
        <f t="shared" si="0"/>
        <v>4</v>
      </c>
      <c r="E10" s="9"/>
    </row>
    <row r="11" spans="1:5" ht="30.75" customHeight="1" thickBot="1" x14ac:dyDescent="0.55000000000000004">
      <c r="A11" s="8">
        <v>8</v>
      </c>
      <c r="B11" s="6" t="s">
        <v>10</v>
      </c>
      <c r="C11" s="5"/>
      <c r="D11" s="5">
        <f t="shared" si="0"/>
        <v>4</v>
      </c>
      <c r="E11" s="9"/>
    </row>
    <row r="12" spans="1:5" ht="54.75" customHeight="1" thickBot="1" x14ac:dyDescent="0.55000000000000004">
      <c r="A12" s="8">
        <v>9</v>
      </c>
      <c r="B12" s="3" t="s">
        <v>11</v>
      </c>
      <c r="C12" s="5"/>
      <c r="D12" s="5">
        <f>IF(C12="Aucune",0,IF(OR(C12="1 expérience",C12="2 expériences"),-2,-4))</f>
        <v>-4</v>
      </c>
      <c r="E12" s="2" t="s">
        <v>12</v>
      </c>
    </row>
    <row r="13" spans="1:5" ht="168" customHeight="1" x14ac:dyDescent="0.35">
      <c r="A13" s="13" t="s">
        <v>13</v>
      </c>
      <c r="B13" s="13"/>
      <c r="C13" s="14"/>
      <c r="D13" s="5">
        <f>SUM(D4:D12)</f>
        <v>18</v>
      </c>
      <c r="E13" s="4" t="str">
        <f>IF(D13&lt;=0,"Pas d’évaluation de la sécurité (ni EDS, ni MIP)",IF(D13&lt;=14,"Réaliser une MIP","réaliser une EDS"))</f>
        <v>réaliser une EDS</v>
      </c>
    </row>
  </sheetData>
  <mergeCells count="2">
    <mergeCell ref="B1:E1"/>
    <mergeCell ref="A13:C13"/>
  </mergeCells>
  <conditionalFormatting sqref="D4:D11">
    <cfRule type="cellIs" dxfId="8" priority="4" operator="equal">
      <formula>0</formula>
    </cfRule>
    <cfRule type="cellIs" dxfId="7" priority="5" operator="equal">
      <formula>2</formula>
    </cfRule>
    <cfRule type="cellIs" dxfId="6" priority="6" operator="equal">
      <formula>4</formula>
    </cfRule>
  </conditionalFormatting>
  <conditionalFormatting sqref="D12">
    <cfRule type="cellIs" dxfId="5" priority="1" operator="equal">
      <formula>-4</formula>
    </cfRule>
    <cfRule type="cellIs" dxfId="4" priority="2" operator="equal">
      <formula>-2</formula>
    </cfRule>
    <cfRule type="cellIs" dxfId="3" priority="3" operator="equal">
      <formula>0</formula>
    </cfRule>
  </conditionalFormatting>
  <conditionalFormatting sqref="D13">
    <cfRule type="cellIs" dxfId="2" priority="25" operator="between">
      <formula>15</formula>
      <formula>100</formula>
    </cfRule>
    <cfRule type="cellIs" dxfId="1" priority="26" operator="between">
      <formula>1</formula>
      <formula>14</formula>
    </cfRule>
    <cfRule type="cellIs" dxfId="0" priority="27" operator="between">
      <formula>-4</formula>
      <formula>0</formula>
    </cfRule>
  </conditionalFormatting>
  <dataValidations count="4">
    <dataValidation type="list" allowBlank="1" showInputMessage="1" showErrorMessage="1" sqref="C12" xr:uid="{00000000-0002-0000-0000-000000000000}">
      <formula1>"Aucune,1 expérience, 2 expériences,3 expériences,4 expériences,5 expériences, Plus de 5 expériences"</formula1>
    </dataValidation>
    <dataValidation type="list" allowBlank="1" showInputMessage="1" showErrorMessage="1" sqref="C7:C11" xr:uid="{00000000-0002-0000-0000-000001000000}">
      <formula1>"Forte,Moyenne,Légère"</formula1>
    </dataValidation>
    <dataValidation type="list" allowBlank="1" showInputMessage="1" showErrorMessage="1" sqref="C5:C6" xr:uid="{00000000-0002-0000-0000-000002000000}">
      <formula1>"1,2,3,4,5,6,7,8,9,10,plus de 10"</formula1>
    </dataValidation>
    <dataValidation type="list" allowBlank="1" showInputMessage="1" showErrorMessage="1" sqref="C4" xr:uid="{00000000-0002-0000-0000-000003000000}">
      <formula1>"Risques liés à la manipulation de mise en œuvre,Risques liés au contenu du système"</formula1>
    </dataValidation>
  </dataValidations>
  <pageMargins left="0.7" right="0.7" top="0.75" bottom="0.75" header="0.3" footer="0.3"/>
  <pageSetup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EPI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DCSDR1</dc:creator>
  <cp:lastModifiedBy>MOUSTAPHA Amadou Roufaï</cp:lastModifiedBy>
  <cp:lastPrinted>2019-04-03T07:03:56Z</cp:lastPrinted>
  <dcterms:created xsi:type="dcterms:W3CDTF">2019-04-02T13:45:39Z</dcterms:created>
  <dcterms:modified xsi:type="dcterms:W3CDTF">2026-05-11T13:34:06Z</dcterms:modified>
</cp:coreProperties>
</file>