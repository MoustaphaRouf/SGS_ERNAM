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ADEMIE\COURS_SMS_EAMAC\SMS_EAMAC_2025\Support_cours_SMS\TD\"/>
    </mc:Choice>
  </mc:AlternateContent>
  <xr:revisionPtr revIDLastSave="0" documentId="13_ncr:1_{B489C6B6-3335-492C-B72D-1C5BE524B19C}" xr6:coauthVersionLast="47" xr6:coauthVersionMax="47" xr10:uidLastSave="{00000000-0000-0000-0000-000000000000}"/>
  <bookViews>
    <workbookView xWindow="-120" yWindow="-120" windowWidth="20730" windowHeight="11040" activeTab="1" xr2:uid="{B364A7C0-30FC-415B-AEDB-EBE0CA639DC7}"/>
  </bookViews>
  <sheets>
    <sheet name="Consignes" sheetId="6" r:id="rId1"/>
    <sheet name="Taux_d'éffarouchement_Réussi" sheetId="1" r:id="rId2"/>
    <sheet name="Maintenance préventive" sheetId="4" r:id="rId3"/>
    <sheet name="FPL_Manquant" sheetId="3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B2" i="1"/>
  <c r="B3" i="1"/>
  <c r="B4" i="1"/>
  <c r="B5" i="1"/>
  <c r="B6" i="1"/>
  <c r="B7" i="1"/>
  <c r="B8" i="1"/>
  <c r="B9" i="1"/>
  <c r="B10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" authorId="0" shapeId="0" xr:uid="{A141F3EC-D0A1-40B0-A0FE-EB8A6FFCFC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Moyenne 2017</t>
        </r>
      </text>
    </comment>
    <comment ref="F1" authorId="0" shapeId="0" xr:uid="{DA172D0B-E0A4-401C-BC9A-56583A98D3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Ecart type 2017</t>
        </r>
      </text>
    </comment>
  </commentList>
</comments>
</file>

<file path=xl/sharedStrings.xml><?xml version="1.0" encoding="utf-8"?>
<sst xmlns="http://schemas.openxmlformats.org/spreadsheetml/2006/main" count="106" uniqueCount="92">
  <si>
    <t>Nov_2021</t>
  </si>
  <si>
    <t>OCT_2021</t>
  </si>
  <si>
    <t>SEP_2021</t>
  </si>
  <si>
    <t>AOUT_2021</t>
  </si>
  <si>
    <t>JUL_2021</t>
  </si>
  <si>
    <t>JUIN_2021</t>
  </si>
  <si>
    <t>MAI_2021</t>
  </si>
  <si>
    <t>AVRIL_2021</t>
  </si>
  <si>
    <t>Mars_2021</t>
  </si>
  <si>
    <t>FEVRIER_2021</t>
  </si>
  <si>
    <t>JANVIER_2021</t>
  </si>
  <si>
    <t>DECEMBRE_2020</t>
  </si>
  <si>
    <t>NOVEMBRE_2020</t>
  </si>
  <si>
    <t>OCTOBRE_2020</t>
  </si>
  <si>
    <t>SEPTEMBRE_2020</t>
  </si>
  <si>
    <t>AOUT_2020</t>
  </si>
  <si>
    <t>JUILLET_2020</t>
  </si>
  <si>
    <t>JUIN_2020</t>
  </si>
  <si>
    <t>MAI_2020</t>
  </si>
  <si>
    <t>AVRIL_2020</t>
  </si>
  <si>
    <t>MARS_2020</t>
  </si>
  <si>
    <t>FEVRIER_2020</t>
  </si>
  <si>
    <t>JANVIER_2020</t>
  </si>
  <si>
    <t>DECEMBRE_2019</t>
  </si>
  <si>
    <t>NOVEMBRE_2019</t>
  </si>
  <si>
    <t>OCTOBRE_2019</t>
  </si>
  <si>
    <t>SEPTEMBRE_2019</t>
  </si>
  <si>
    <t>AOUT_2019</t>
  </si>
  <si>
    <t>JUILLET_2019</t>
  </si>
  <si>
    <t>JUIN_2019</t>
  </si>
  <si>
    <t>MAI_2019</t>
  </si>
  <si>
    <t>AVRIL_2019</t>
  </si>
  <si>
    <t>MARS_2019</t>
  </si>
  <si>
    <t>FEVRIER_2019</t>
  </si>
  <si>
    <t>JANVIER_2019</t>
  </si>
  <si>
    <t>DECEMBRE_2018</t>
  </si>
  <si>
    <t>NOVEMBRE_2018</t>
  </si>
  <si>
    <t>OCTOBRE_2018</t>
  </si>
  <si>
    <t>SEPTEMBRE_2018</t>
  </si>
  <si>
    <t>AOUT_2018</t>
  </si>
  <si>
    <t>JUILLET_2018</t>
  </si>
  <si>
    <t>JUIN_2018</t>
  </si>
  <si>
    <t>MAI_2018</t>
  </si>
  <si>
    <t>AVRIL_2018</t>
  </si>
  <si>
    <t>MARS_2018</t>
  </si>
  <si>
    <t>FEVRIER_2018</t>
  </si>
  <si>
    <t>JANVIER_2018</t>
  </si>
  <si>
    <t>DECEMBRE_2017</t>
  </si>
  <si>
    <t>NOVEMBRE_2017</t>
  </si>
  <si>
    <t>OCTOBRE_2017</t>
  </si>
  <si>
    <t>SEPTEMBRE_2017</t>
  </si>
  <si>
    <t>AOUT_2017</t>
  </si>
  <si>
    <t>JUILLET_2017</t>
  </si>
  <si>
    <t>JUIN_2017</t>
  </si>
  <si>
    <t>MAI_2017</t>
  </si>
  <si>
    <t>AVRIL_2017</t>
  </si>
  <si>
    <t>MARS_2017</t>
  </si>
  <si>
    <t>FEVRIER_2017</t>
  </si>
  <si>
    <t>JANVIER_2017</t>
  </si>
  <si>
    <t>S2021</t>
  </si>
  <si>
    <t>M2021</t>
  </si>
  <si>
    <t>S2020</t>
  </si>
  <si>
    <t>M2020</t>
  </si>
  <si>
    <t>S2019</t>
  </si>
  <si>
    <t>M2019</t>
  </si>
  <si>
    <t>S2018</t>
  </si>
  <si>
    <t>M2018</t>
  </si>
  <si>
    <t>S2017</t>
  </si>
  <si>
    <t>M2017</t>
  </si>
  <si>
    <t>ALERTE</t>
  </si>
  <si>
    <t>CIBLE</t>
  </si>
  <si>
    <t>INDICATEUR</t>
  </si>
  <si>
    <t>Date</t>
  </si>
  <si>
    <t>JAN</t>
  </si>
  <si>
    <t>FEV</t>
  </si>
  <si>
    <t>MAR</t>
  </si>
  <si>
    <t>AVR</t>
  </si>
  <si>
    <t>MAI</t>
  </si>
  <si>
    <t>JUIN</t>
  </si>
  <si>
    <t>JUIL</t>
  </si>
  <si>
    <t>AOUT</t>
  </si>
  <si>
    <t>SEP</t>
  </si>
  <si>
    <t>OCT</t>
  </si>
  <si>
    <t>NOV</t>
  </si>
  <si>
    <t>Mois</t>
  </si>
  <si>
    <t>Taux de disponibilité</t>
  </si>
  <si>
    <t>Taux de plan de vol manquant</t>
  </si>
  <si>
    <t>Cible &lt;2%</t>
  </si>
  <si>
    <t>Cible = 100%</t>
  </si>
  <si>
    <t>Seuil d'alerte</t>
  </si>
  <si>
    <t>Moyenne</t>
  </si>
  <si>
    <t>Ecart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</si>
</sst>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w Cen MT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7" fillId="0" borderId="0"/>
  </cellStyleXfs>
  <cellXfs count="21">
    <xf numFmtId="0" fontId="0" fillId="0" borderId="0" xfId="0"/>
    <xf numFmtId="9" fontId="2" fillId="2" borderId="1" xfId="0" applyNumberFormat="1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right" vertical="center"/>
    </xf>
    <xf numFmtId="17" fontId="1" fillId="3" borderId="3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right"/>
    </xf>
    <xf numFmtId="10" fontId="0" fillId="0" borderId="1" xfId="0" applyNumberFormat="1" applyBorder="1"/>
    <xf numFmtId="17" fontId="1" fillId="3" borderId="3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/>
    </xf>
    <xf numFmtId="9" fontId="0" fillId="0" borderId="0" xfId="0" applyNumberFormat="1"/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164" fontId="6" fillId="5" borderId="1" xfId="1" applyNumberFormat="1" applyFont="1" applyFill="1" applyBorder="1" applyAlignment="1">
      <alignment horizontal="right" vertical="center" wrapText="1"/>
    </xf>
    <xf numFmtId="10" fontId="6" fillId="5" borderId="1" xfId="1" applyNumberFormat="1" applyFont="1" applyFill="1" applyBorder="1" applyAlignment="1">
      <alignment horizontal="right" vertical="center" wrapText="1"/>
    </xf>
    <xf numFmtId="10" fontId="0" fillId="0" borderId="0" xfId="0" applyNumberFormat="1"/>
    <xf numFmtId="0" fontId="4" fillId="4" borderId="4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right" vertical="center"/>
    </xf>
    <xf numFmtId="9" fontId="2" fillId="6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228D941E-4E97-4968-8BE9-40CB0EBA7A94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Indicateur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'Taux_d''éffarouchement_Réussi'!$B$1</c:f>
              <c:strCache>
                <c:ptCount val="1"/>
                <c:pt idx="0">
                  <c:v>INDICATEUR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'Taux_d''éffarouchement_Réussi'!$A$2:$A$60</c:f>
              <c:strCache>
                <c:ptCount val="59"/>
                <c:pt idx="0">
                  <c:v>JANVIER_2017</c:v>
                </c:pt>
                <c:pt idx="1">
                  <c:v>FEVRIER_2017</c:v>
                </c:pt>
                <c:pt idx="2">
                  <c:v>MARS_2017</c:v>
                </c:pt>
                <c:pt idx="3">
                  <c:v>AVRIL_2017</c:v>
                </c:pt>
                <c:pt idx="4">
                  <c:v>MAI_2017</c:v>
                </c:pt>
                <c:pt idx="5">
                  <c:v>JUIN_2017</c:v>
                </c:pt>
                <c:pt idx="6">
                  <c:v>JUILLET_2017</c:v>
                </c:pt>
                <c:pt idx="7">
                  <c:v>AOUT_2017</c:v>
                </c:pt>
                <c:pt idx="8">
                  <c:v>SEPTEMBRE_2017</c:v>
                </c:pt>
                <c:pt idx="9">
                  <c:v>OCTOBRE_2017</c:v>
                </c:pt>
                <c:pt idx="10">
                  <c:v>NOVEMBRE_2017</c:v>
                </c:pt>
                <c:pt idx="11">
                  <c:v>DECEMBRE_2017</c:v>
                </c:pt>
                <c:pt idx="12">
                  <c:v>JANVIER_2018</c:v>
                </c:pt>
                <c:pt idx="13">
                  <c:v>FEVRIER_2018</c:v>
                </c:pt>
                <c:pt idx="14">
                  <c:v>MARS_2018</c:v>
                </c:pt>
                <c:pt idx="15">
                  <c:v>AVRIL_2018</c:v>
                </c:pt>
                <c:pt idx="16">
                  <c:v>MAI_2018</c:v>
                </c:pt>
                <c:pt idx="17">
                  <c:v>JUIN_2018</c:v>
                </c:pt>
                <c:pt idx="18">
                  <c:v>JUILLET_2018</c:v>
                </c:pt>
                <c:pt idx="19">
                  <c:v>AOUT_2018</c:v>
                </c:pt>
                <c:pt idx="20">
                  <c:v>SEPTEMBRE_2018</c:v>
                </c:pt>
                <c:pt idx="21">
                  <c:v>OCTOBRE_2018</c:v>
                </c:pt>
                <c:pt idx="22">
                  <c:v>NOVEMBRE_2018</c:v>
                </c:pt>
                <c:pt idx="23">
                  <c:v>DECEMBRE_2018</c:v>
                </c:pt>
                <c:pt idx="24">
                  <c:v>JANVIER_2019</c:v>
                </c:pt>
                <c:pt idx="25">
                  <c:v>FEVRIER_2019</c:v>
                </c:pt>
                <c:pt idx="26">
                  <c:v>MARS_2019</c:v>
                </c:pt>
                <c:pt idx="27">
                  <c:v>AVRIL_2019</c:v>
                </c:pt>
                <c:pt idx="28">
                  <c:v>MAI_2019</c:v>
                </c:pt>
                <c:pt idx="29">
                  <c:v>JUIN_2019</c:v>
                </c:pt>
                <c:pt idx="30">
                  <c:v>JUILLET_2019</c:v>
                </c:pt>
                <c:pt idx="31">
                  <c:v>AOUT_2019</c:v>
                </c:pt>
                <c:pt idx="32">
                  <c:v>SEPTEMBRE_2019</c:v>
                </c:pt>
                <c:pt idx="33">
                  <c:v>OCTOBRE_2019</c:v>
                </c:pt>
                <c:pt idx="34">
                  <c:v>NOVEMBRE_2019</c:v>
                </c:pt>
                <c:pt idx="35">
                  <c:v>DECEMBRE_2019</c:v>
                </c:pt>
                <c:pt idx="36">
                  <c:v>JANVIER_2020</c:v>
                </c:pt>
                <c:pt idx="37">
                  <c:v>FEVRIER_2020</c:v>
                </c:pt>
                <c:pt idx="38">
                  <c:v>MARS_2020</c:v>
                </c:pt>
                <c:pt idx="39">
                  <c:v>AVRIL_2020</c:v>
                </c:pt>
                <c:pt idx="40">
                  <c:v>MAI_2020</c:v>
                </c:pt>
                <c:pt idx="41">
                  <c:v>JUIN_2020</c:v>
                </c:pt>
                <c:pt idx="42">
                  <c:v>JUILLET_2020</c:v>
                </c:pt>
                <c:pt idx="43">
                  <c:v>AOUT_2020</c:v>
                </c:pt>
                <c:pt idx="44">
                  <c:v>SEPTEMBRE_2020</c:v>
                </c:pt>
                <c:pt idx="45">
                  <c:v>OCTOBRE_2020</c:v>
                </c:pt>
                <c:pt idx="46">
                  <c:v>NOVEMBRE_2020</c:v>
                </c:pt>
                <c:pt idx="47">
                  <c:v>DECEMBRE_2020</c:v>
                </c:pt>
                <c:pt idx="48">
                  <c:v>JANVIER_2021</c:v>
                </c:pt>
                <c:pt idx="49">
                  <c:v>FEVRIER_2021</c:v>
                </c:pt>
                <c:pt idx="50">
                  <c:v>Mars_2021</c:v>
                </c:pt>
                <c:pt idx="51">
                  <c:v>AVRIL_2021</c:v>
                </c:pt>
                <c:pt idx="52">
                  <c:v>MAI_2021</c:v>
                </c:pt>
                <c:pt idx="53">
                  <c:v>JUIN_2021</c:v>
                </c:pt>
                <c:pt idx="54">
                  <c:v>JUL_2021</c:v>
                </c:pt>
                <c:pt idx="55">
                  <c:v>AOUT_2021</c:v>
                </c:pt>
                <c:pt idx="56">
                  <c:v>SEP_2021</c:v>
                </c:pt>
                <c:pt idx="57">
                  <c:v>OCT_2021</c:v>
                </c:pt>
                <c:pt idx="58">
                  <c:v>Nov_2021</c:v>
                </c:pt>
              </c:strCache>
            </c:strRef>
          </c:cat>
          <c:val>
            <c:numRef>
              <c:f>'Taux_d''éffarouchement_Réussi'!$B$2:$B$60</c:f>
              <c:numCache>
                <c:formatCode>0%</c:formatCode>
                <c:ptCount val="59"/>
                <c:pt idx="0">
                  <c:v>0.71</c:v>
                </c:pt>
                <c:pt idx="1">
                  <c:v>0.8202247191011236</c:v>
                </c:pt>
                <c:pt idx="2">
                  <c:v>0.82786885245901642</c:v>
                </c:pt>
                <c:pt idx="3">
                  <c:v>0.79807692307692313</c:v>
                </c:pt>
                <c:pt idx="4">
                  <c:v>0.82242990654205606</c:v>
                </c:pt>
                <c:pt idx="5">
                  <c:v>0.77600000000000002</c:v>
                </c:pt>
                <c:pt idx="6">
                  <c:v>0.75471698113207553</c:v>
                </c:pt>
                <c:pt idx="7" formatCode="0.00%">
                  <c:v>0.79104477611940294</c:v>
                </c:pt>
                <c:pt idx="8" formatCode="0.00%">
                  <c:v>0.80645161290322576</c:v>
                </c:pt>
                <c:pt idx="9" formatCode="0.00%">
                  <c:v>0.90569999999999995</c:v>
                </c:pt>
                <c:pt idx="10" formatCode="0.00%">
                  <c:v>0.84209999999999996</c:v>
                </c:pt>
                <c:pt idx="11" formatCode="0.00%">
                  <c:v>0.81553398058252424</c:v>
                </c:pt>
                <c:pt idx="12" formatCode="0.00%">
                  <c:v>0.74242424242424243</c:v>
                </c:pt>
                <c:pt idx="13" formatCode="0.00%">
                  <c:v>0.69696969696969702</c:v>
                </c:pt>
                <c:pt idx="14" formatCode="0.00%">
                  <c:v>0.73913043478260865</c:v>
                </c:pt>
                <c:pt idx="15" formatCode="0.00%">
                  <c:v>0.75409836065573765</c:v>
                </c:pt>
                <c:pt idx="16" formatCode="0.00%">
                  <c:v>0.67692307692307696</c:v>
                </c:pt>
                <c:pt idx="17" formatCode="0.00%">
                  <c:v>0.75</c:v>
                </c:pt>
                <c:pt idx="18" formatCode="0.00%">
                  <c:v>0.77941176470588236</c:v>
                </c:pt>
                <c:pt idx="19" formatCode="0.00%">
                  <c:v>0.75</c:v>
                </c:pt>
                <c:pt idx="20" formatCode="0.00%">
                  <c:v>0.75</c:v>
                </c:pt>
                <c:pt idx="21" formatCode="0.00%">
                  <c:v>0.75</c:v>
                </c:pt>
                <c:pt idx="22" formatCode="0.00%">
                  <c:v>0.76363636363636367</c:v>
                </c:pt>
                <c:pt idx="23" formatCode="0.00%">
                  <c:v>0.76991150442477874</c:v>
                </c:pt>
                <c:pt idx="24" formatCode="0.00%">
                  <c:v>0.77777777777777779</c:v>
                </c:pt>
                <c:pt idx="25" formatCode="0.00%">
                  <c:v>0.734375</c:v>
                </c:pt>
                <c:pt idx="26" formatCode="0.00%">
                  <c:v>0.7441860465116279</c:v>
                </c:pt>
                <c:pt idx="27" formatCode="0.00%">
                  <c:v>0.70967741935483875</c:v>
                </c:pt>
                <c:pt idx="28" formatCode="0.00%">
                  <c:v>0.72602739726027399</c:v>
                </c:pt>
                <c:pt idx="29" formatCode="0.00%">
                  <c:v>0.73786407766990292</c:v>
                </c:pt>
                <c:pt idx="30" formatCode="0.00%">
                  <c:v>0.74242424242424243</c:v>
                </c:pt>
                <c:pt idx="31" formatCode="0.00%">
                  <c:v>0.70588235294117652</c:v>
                </c:pt>
                <c:pt idx="32" formatCode="0.00%">
                  <c:v>0.74647887323943662</c:v>
                </c:pt>
                <c:pt idx="33" formatCode="0.00%">
                  <c:v>0.74509803921568629</c:v>
                </c:pt>
                <c:pt idx="34" formatCode="0.00%">
                  <c:v>0.74509803921568629</c:v>
                </c:pt>
                <c:pt idx="35" formatCode="0.00%">
                  <c:v>0.75609756097560976</c:v>
                </c:pt>
                <c:pt idx="36" formatCode="0.00%">
                  <c:v>0.7</c:v>
                </c:pt>
                <c:pt idx="37" formatCode="0.00%">
                  <c:v>0.81481481481481477</c:v>
                </c:pt>
                <c:pt idx="38" formatCode="0.00%">
                  <c:v>0.8</c:v>
                </c:pt>
                <c:pt idx="39" formatCode="0.00%">
                  <c:v>0.77777777777777779</c:v>
                </c:pt>
                <c:pt idx="40" formatCode="0.00%">
                  <c:v>0.72307692307692306</c:v>
                </c:pt>
                <c:pt idx="41" formatCode="0.00%">
                  <c:v>0.70833333333333337</c:v>
                </c:pt>
                <c:pt idx="42" formatCode="0.00%">
                  <c:v>0.74509803921568629</c:v>
                </c:pt>
                <c:pt idx="43" formatCode="0.00%">
                  <c:v>0.75409836065573765</c:v>
                </c:pt>
                <c:pt idx="44" formatCode="0.00%">
                  <c:v>0.68918918918918914</c:v>
                </c:pt>
                <c:pt idx="45" formatCode="0.00%">
                  <c:v>0.70491803278688525</c:v>
                </c:pt>
                <c:pt idx="46" formatCode="0.00%">
                  <c:v>0.70370370370370372</c:v>
                </c:pt>
                <c:pt idx="47" formatCode="0.00%">
                  <c:v>0.62745098039215685</c:v>
                </c:pt>
                <c:pt idx="48" formatCode="0.00%">
                  <c:v>0.77777777777777779</c:v>
                </c:pt>
                <c:pt idx="49" formatCode="0.00%">
                  <c:v>0.72916666666666663</c:v>
                </c:pt>
                <c:pt idx="50" formatCode="0.00%">
                  <c:v>0.77500000000000002</c:v>
                </c:pt>
                <c:pt idx="51" formatCode="0.00%">
                  <c:v>0.75510204081632648</c:v>
                </c:pt>
                <c:pt idx="52" formatCode="0.00%">
                  <c:v>0.77358490566037741</c:v>
                </c:pt>
                <c:pt idx="53" formatCode="0.00%">
                  <c:v>0.77966101694915257</c:v>
                </c:pt>
                <c:pt idx="54" formatCode="0.00%">
                  <c:v>0.765625</c:v>
                </c:pt>
                <c:pt idx="55" formatCode="0.00%">
                  <c:v>0.75</c:v>
                </c:pt>
                <c:pt idx="56" formatCode="0.00%">
                  <c:v>0.70175438596491224</c:v>
                </c:pt>
                <c:pt idx="57" formatCode="0.00%">
                  <c:v>0.76744186046511631</c:v>
                </c:pt>
                <c:pt idx="58" formatCode="0.00%">
                  <c:v>0.71186440677966101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1-4139-A368-BB2E125D22F7}"/>
            </c:ext>
          </c:extLst>
        </c:ser>
        <c:ser>
          <c:idx val="1"/>
          <c:order val="1"/>
          <c:tx>
            <c:strRef>
              <c:f>'Taux_d''éffarouchement_Réussi'!$C$1</c:f>
              <c:strCache>
                <c:ptCount val="1"/>
                <c:pt idx="0">
                  <c:v>CIBLE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'Taux_d''éffarouchement_Réussi'!$A$2:$A$60</c:f>
              <c:strCache>
                <c:ptCount val="59"/>
                <c:pt idx="0">
                  <c:v>JANVIER_2017</c:v>
                </c:pt>
                <c:pt idx="1">
                  <c:v>FEVRIER_2017</c:v>
                </c:pt>
                <c:pt idx="2">
                  <c:v>MARS_2017</c:v>
                </c:pt>
                <c:pt idx="3">
                  <c:v>AVRIL_2017</c:v>
                </c:pt>
                <c:pt idx="4">
                  <c:v>MAI_2017</c:v>
                </c:pt>
                <c:pt idx="5">
                  <c:v>JUIN_2017</c:v>
                </c:pt>
                <c:pt idx="6">
                  <c:v>JUILLET_2017</c:v>
                </c:pt>
                <c:pt idx="7">
                  <c:v>AOUT_2017</c:v>
                </c:pt>
                <c:pt idx="8">
                  <c:v>SEPTEMBRE_2017</c:v>
                </c:pt>
                <c:pt idx="9">
                  <c:v>OCTOBRE_2017</c:v>
                </c:pt>
                <c:pt idx="10">
                  <c:v>NOVEMBRE_2017</c:v>
                </c:pt>
                <c:pt idx="11">
                  <c:v>DECEMBRE_2017</c:v>
                </c:pt>
                <c:pt idx="12">
                  <c:v>JANVIER_2018</c:v>
                </c:pt>
                <c:pt idx="13">
                  <c:v>FEVRIER_2018</c:v>
                </c:pt>
                <c:pt idx="14">
                  <c:v>MARS_2018</c:v>
                </c:pt>
                <c:pt idx="15">
                  <c:v>AVRIL_2018</c:v>
                </c:pt>
                <c:pt idx="16">
                  <c:v>MAI_2018</c:v>
                </c:pt>
                <c:pt idx="17">
                  <c:v>JUIN_2018</c:v>
                </c:pt>
                <c:pt idx="18">
                  <c:v>JUILLET_2018</c:v>
                </c:pt>
                <c:pt idx="19">
                  <c:v>AOUT_2018</c:v>
                </c:pt>
                <c:pt idx="20">
                  <c:v>SEPTEMBRE_2018</c:v>
                </c:pt>
                <c:pt idx="21">
                  <c:v>OCTOBRE_2018</c:v>
                </c:pt>
                <c:pt idx="22">
                  <c:v>NOVEMBRE_2018</c:v>
                </c:pt>
                <c:pt idx="23">
                  <c:v>DECEMBRE_2018</c:v>
                </c:pt>
                <c:pt idx="24">
                  <c:v>JANVIER_2019</c:v>
                </c:pt>
                <c:pt idx="25">
                  <c:v>FEVRIER_2019</c:v>
                </c:pt>
                <c:pt idx="26">
                  <c:v>MARS_2019</c:v>
                </c:pt>
                <c:pt idx="27">
                  <c:v>AVRIL_2019</c:v>
                </c:pt>
                <c:pt idx="28">
                  <c:v>MAI_2019</c:v>
                </c:pt>
                <c:pt idx="29">
                  <c:v>JUIN_2019</c:v>
                </c:pt>
                <c:pt idx="30">
                  <c:v>JUILLET_2019</c:v>
                </c:pt>
                <c:pt idx="31">
                  <c:v>AOUT_2019</c:v>
                </c:pt>
                <c:pt idx="32">
                  <c:v>SEPTEMBRE_2019</c:v>
                </c:pt>
                <c:pt idx="33">
                  <c:v>OCTOBRE_2019</c:v>
                </c:pt>
                <c:pt idx="34">
                  <c:v>NOVEMBRE_2019</c:v>
                </c:pt>
                <c:pt idx="35">
                  <c:v>DECEMBRE_2019</c:v>
                </c:pt>
                <c:pt idx="36">
                  <c:v>JANVIER_2020</c:v>
                </c:pt>
                <c:pt idx="37">
                  <c:v>FEVRIER_2020</c:v>
                </c:pt>
                <c:pt idx="38">
                  <c:v>MARS_2020</c:v>
                </c:pt>
                <c:pt idx="39">
                  <c:v>AVRIL_2020</c:v>
                </c:pt>
                <c:pt idx="40">
                  <c:v>MAI_2020</c:v>
                </c:pt>
                <c:pt idx="41">
                  <c:v>JUIN_2020</c:v>
                </c:pt>
                <c:pt idx="42">
                  <c:v>JUILLET_2020</c:v>
                </c:pt>
                <c:pt idx="43">
                  <c:v>AOUT_2020</c:v>
                </c:pt>
                <c:pt idx="44">
                  <c:v>SEPTEMBRE_2020</c:v>
                </c:pt>
                <c:pt idx="45">
                  <c:v>OCTOBRE_2020</c:v>
                </c:pt>
                <c:pt idx="46">
                  <c:v>NOVEMBRE_2020</c:v>
                </c:pt>
                <c:pt idx="47">
                  <c:v>DECEMBRE_2020</c:v>
                </c:pt>
                <c:pt idx="48">
                  <c:v>JANVIER_2021</c:v>
                </c:pt>
                <c:pt idx="49">
                  <c:v>FEVRIER_2021</c:v>
                </c:pt>
                <c:pt idx="50">
                  <c:v>Mars_2021</c:v>
                </c:pt>
                <c:pt idx="51">
                  <c:v>AVRIL_2021</c:v>
                </c:pt>
                <c:pt idx="52">
                  <c:v>MAI_2021</c:v>
                </c:pt>
                <c:pt idx="53">
                  <c:v>JUIN_2021</c:v>
                </c:pt>
                <c:pt idx="54">
                  <c:v>JUL_2021</c:v>
                </c:pt>
                <c:pt idx="55">
                  <c:v>AOUT_2021</c:v>
                </c:pt>
                <c:pt idx="56">
                  <c:v>SEP_2021</c:v>
                </c:pt>
                <c:pt idx="57">
                  <c:v>OCT_2021</c:v>
                </c:pt>
                <c:pt idx="58">
                  <c:v>Nov_2021</c:v>
                </c:pt>
              </c:strCache>
            </c:strRef>
          </c:cat>
          <c:val>
            <c:numRef>
              <c:f>'Taux_d''éffarouchement_Réussi'!$C$2:$C$60</c:f>
              <c:numCache>
                <c:formatCode>0%</c:formatCode>
                <c:ptCount val="59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A1-4139-A368-BB2E125D2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351632"/>
        <c:axId val="260663344"/>
      </c:lineChart>
      <c:catAx>
        <c:axId val="24535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663344"/>
        <c:crosses val="autoZero"/>
        <c:auto val="1"/>
        <c:lblAlgn val="ctr"/>
        <c:lblOffset val="100"/>
        <c:noMultiLvlLbl val="0"/>
      </c:catAx>
      <c:valAx>
        <c:axId val="26066334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535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152400</xdr:rowOff>
    </xdr:from>
    <xdr:to>
      <xdr:col>10</xdr:col>
      <xdr:colOff>466725</xdr:colOff>
      <xdr:row>10</xdr:row>
      <xdr:rowOff>47625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392836E-EDA9-40C6-71F5-655A37CEA46F}"/>
            </a:ext>
          </a:extLst>
        </xdr:cNvPr>
        <xdr:cNvSpPr txBox="1"/>
      </xdr:nvSpPr>
      <xdr:spPr>
        <a:xfrm>
          <a:off x="104775" y="342900"/>
          <a:ext cx="7981950" cy="160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fr-FR" sz="1600">
              <a:latin typeface="Times New Roman" panose="02020603050405020304" pitchFamily="18" charset="0"/>
              <a:cs typeface="Times New Roman" panose="02020603050405020304" pitchFamily="18" charset="0"/>
            </a:rPr>
            <a:t>Dans les onglets Taux</a:t>
          </a:r>
          <a:r>
            <a:rPr lang="fr-F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d'effarouchement</a:t>
          </a:r>
          <a:r>
            <a:rPr lang="fr-FR" sz="1600">
              <a:latin typeface="Times New Roman" panose="02020603050405020304" pitchFamily="18" charset="0"/>
              <a:cs typeface="Times New Roman" panose="02020603050405020304" pitchFamily="18" charset="0"/>
            </a:rPr>
            <a:t>, TX maintenance</a:t>
          </a:r>
          <a:r>
            <a:rPr lang="fr-F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préventive </a:t>
          </a:r>
          <a:r>
            <a:rPr lang="fr-FR" sz="1600">
              <a:latin typeface="Times New Roman" panose="02020603050405020304" pitchFamily="18" charset="0"/>
              <a:cs typeface="Times New Roman" panose="02020603050405020304" pitchFamily="18" charset="0"/>
            </a:rPr>
            <a:t>et FPL manquant,</a:t>
          </a:r>
          <a:r>
            <a:rPr lang="fr-F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d</a:t>
          </a:r>
          <a:r>
            <a:rPr lang="fr-FR" sz="1600">
              <a:latin typeface="Times New Roman" panose="02020603050405020304" pitchFamily="18" charset="0"/>
              <a:cs typeface="Times New Roman" panose="02020603050405020304" pitchFamily="18" charset="0"/>
            </a:rPr>
            <a:t>es mesures de</a:t>
          </a:r>
          <a:r>
            <a:rPr lang="fr-F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SPI ont été donnés pour certain nombre d'année:</a:t>
          </a:r>
        </a:p>
        <a:p>
          <a:endParaRPr lang="fr-FR" sz="16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- Complêter les différents tableaux en indiquant les seuils d'alerte à adopter.</a:t>
          </a:r>
        </a:p>
        <a:p>
          <a:endParaRPr lang="fr-FR" sz="16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- Expliquer les méthodes de calcul des seuils d'alerte.</a:t>
          </a:r>
          <a:endParaRPr lang="fr-FR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39</xdr:row>
      <xdr:rowOff>123825</xdr:rowOff>
    </xdr:from>
    <xdr:to>
      <xdr:col>12</xdr:col>
      <xdr:colOff>133350</xdr:colOff>
      <xdr:row>54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287106-6053-4172-B311-992303E2A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21\MESURES\Indicateurs\Performances_des_process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VIER"/>
      <sheetName val="Février_2016"/>
      <sheetName val="Mars_2016"/>
      <sheetName val="AVRIL_2016"/>
      <sheetName val="MAI_2016"/>
      <sheetName val="JUIN_2016"/>
      <sheetName val="JUILLET 2016"/>
      <sheetName val="AOUT_2016"/>
      <sheetName val="SEPTEMBRE_2016"/>
      <sheetName val="OCTOBRE_2016"/>
      <sheetName val="Novembre_2016"/>
      <sheetName val="DECEMBRE_2016"/>
      <sheetName val="EVOLUTION_2016"/>
      <sheetName val="JANVIER_2017"/>
      <sheetName val="FEVRIER_2017"/>
      <sheetName val="MARS_2017"/>
      <sheetName val="AVRIL_2017"/>
      <sheetName val="MAI_2017"/>
      <sheetName val="JUIN_2017"/>
      <sheetName val="JUILLET_2017"/>
      <sheetName val="AOUT_2017"/>
      <sheetName val="SEP_2017"/>
      <sheetName val="OCTOBRE_2017"/>
      <sheetName val="NOVEMBRE_2017"/>
      <sheetName val="DECEMBRE_2017"/>
      <sheetName val="JANVIER_2018"/>
      <sheetName val="FEVRIER_2018"/>
      <sheetName val="MARS_2018"/>
      <sheetName val="AVRIL_2018"/>
      <sheetName val="MAI_2018 "/>
      <sheetName val="JUIN_2018 "/>
      <sheetName val="JUILLET_2018"/>
      <sheetName val="AOUT_2018"/>
      <sheetName val="Sep_2018"/>
      <sheetName val="Octobre_2018"/>
      <sheetName val="Novembre_2018"/>
      <sheetName val="DECEMBRE_2018"/>
      <sheetName val="JANVIER_2019"/>
      <sheetName val="FEVRIER_2019"/>
      <sheetName val="MARS_2019"/>
      <sheetName val="AVRIL_2019"/>
      <sheetName val="MAI_2019"/>
      <sheetName val="JUIN_2019"/>
      <sheetName val="JUILLET_2019"/>
      <sheetName val="AOUT_2019"/>
      <sheetName val="SEPTEMBRE_2019"/>
      <sheetName val="OCTOBRE_2019"/>
      <sheetName val="NOVEMBRE_2019"/>
      <sheetName val="DECEMBRE_2019"/>
      <sheetName val="JANVIER_2020"/>
      <sheetName val="FEVRIER_2020"/>
      <sheetName val="MARS_2020"/>
      <sheetName val="AVRIL_2020"/>
      <sheetName val="MAI_2020"/>
      <sheetName val="JUIN_2020"/>
      <sheetName val="JUILLET_2020"/>
      <sheetName val="AOUT_2020"/>
      <sheetName val="SEP_2020"/>
      <sheetName val="OCT_2020"/>
      <sheetName val="NOV_2020"/>
      <sheetName val="DECEMBRE_2020"/>
      <sheetName val="JANVIER_2021"/>
      <sheetName val="FEVRIER_2021"/>
      <sheetName val="MARS_2021"/>
      <sheetName val="AVRIL_2021"/>
      <sheetName val="MAI_2021"/>
      <sheetName val="JUIN_2021"/>
      <sheetName val="JUILLET_2021"/>
      <sheetName val="AOUT_2021"/>
      <sheetName val="SEP_2021"/>
      <sheetName val="OCT_2021"/>
      <sheetName val="NOV_2021"/>
      <sheetName val="EVOLUTION"/>
      <sheetName val="Feui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7">
          <cell r="D87">
            <v>0.71</v>
          </cell>
        </row>
      </sheetData>
      <sheetData sheetId="14">
        <row r="87">
          <cell r="D87">
            <v>0.8202247191011236</v>
          </cell>
        </row>
      </sheetData>
      <sheetData sheetId="15">
        <row r="87">
          <cell r="D87">
            <v>0.82786885245901642</v>
          </cell>
        </row>
      </sheetData>
      <sheetData sheetId="16">
        <row r="87">
          <cell r="D87">
            <v>0.79807692307692313</v>
          </cell>
        </row>
      </sheetData>
      <sheetData sheetId="17">
        <row r="87">
          <cell r="D87">
            <v>0.82242990654205606</v>
          </cell>
        </row>
      </sheetData>
      <sheetData sheetId="18">
        <row r="87">
          <cell r="D87">
            <v>0.77600000000000002</v>
          </cell>
        </row>
      </sheetData>
      <sheetData sheetId="19">
        <row r="87">
          <cell r="D87">
            <v>0.75471698113207553</v>
          </cell>
        </row>
      </sheetData>
      <sheetData sheetId="20">
        <row r="67">
          <cell r="D67">
            <v>0.79104477611940294</v>
          </cell>
        </row>
      </sheetData>
      <sheetData sheetId="21">
        <row r="67">
          <cell r="D67">
            <v>0.80645161290322576</v>
          </cell>
        </row>
      </sheetData>
      <sheetData sheetId="22"/>
      <sheetData sheetId="23"/>
      <sheetData sheetId="24">
        <row r="66">
          <cell r="D66">
            <v>0.81553398058252424</v>
          </cell>
        </row>
      </sheetData>
      <sheetData sheetId="25">
        <row r="66">
          <cell r="D66">
            <v>0.74242424242424243</v>
          </cell>
        </row>
      </sheetData>
      <sheetData sheetId="26">
        <row r="66">
          <cell r="D66">
            <v>0.69696969696969702</v>
          </cell>
        </row>
      </sheetData>
      <sheetData sheetId="27">
        <row r="66">
          <cell r="D66">
            <v>0.73913043478260865</v>
          </cell>
        </row>
      </sheetData>
      <sheetData sheetId="28">
        <row r="66">
          <cell r="D66">
            <v>0.75409836065573765</v>
          </cell>
        </row>
      </sheetData>
      <sheetData sheetId="29">
        <row r="66">
          <cell r="D66">
            <v>0.67692307692307696</v>
          </cell>
        </row>
      </sheetData>
      <sheetData sheetId="30">
        <row r="66">
          <cell r="D66">
            <v>0.75</v>
          </cell>
        </row>
      </sheetData>
      <sheetData sheetId="31">
        <row r="66">
          <cell r="D66">
            <v>0.77941176470588236</v>
          </cell>
        </row>
      </sheetData>
      <sheetData sheetId="32">
        <row r="66">
          <cell r="D66">
            <v>0.75</v>
          </cell>
        </row>
      </sheetData>
      <sheetData sheetId="33">
        <row r="66">
          <cell r="D66">
            <v>0.75</v>
          </cell>
        </row>
      </sheetData>
      <sheetData sheetId="34">
        <row r="66">
          <cell r="D66">
            <v>0.75</v>
          </cell>
        </row>
      </sheetData>
      <sheetData sheetId="35">
        <row r="66">
          <cell r="D66">
            <v>0.76363636363636367</v>
          </cell>
        </row>
      </sheetData>
      <sheetData sheetId="36">
        <row r="66">
          <cell r="D66">
            <v>0.76991150442477874</v>
          </cell>
        </row>
      </sheetData>
      <sheetData sheetId="37">
        <row r="66">
          <cell r="D66">
            <v>0.77777777777777779</v>
          </cell>
        </row>
      </sheetData>
      <sheetData sheetId="38">
        <row r="66">
          <cell r="D66">
            <v>0.734375</v>
          </cell>
        </row>
      </sheetData>
      <sheetData sheetId="39">
        <row r="66">
          <cell r="D66">
            <v>0.7441860465116279</v>
          </cell>
        </row>
      </sheetData>
      <sheetData sheetId="40">
        <row r="66">
          <cell r="D66">
            <v>0.70967741935483875</v>
          </cell>
        </row>
      </sheetData>
      <sheetData sheetId="41">
        <row r="66">
          <cell r="D66">
            <v>0.72602739726027399</v>
          </cell>
        </row>
      </sheetData>
      <sheetData sheetId="42">
        <row r="66">
          <cell r="D66">
            <v>0.73786407766990292</v>
          </cell>
        </row>
      </sheetData>
      <sheetData sheetId="43">
        <row r="66">
          <cell r="D66">
            <v>0.74242424242424243</v>
          </cell>
        </row>
      </sheetData>
      <sheetData sheetId="44">
        <row r="66">
          <cell r="D66">
            <v>0.70588235294117652</v>
          </cell>
        </row>
      </sheetData>
      <sheetData sheetId="45">
        <row r="66">
          <cell r="D66">
            <v>0.74647887323943662</v>
          </cell>
        </row>
      </sheetData>
      <sheetData sheetId="46">
        <row r="66">
          <cell r="D66">
            <v>0.74509803921568629</v>
          </cell>
        </row>
      </sheetData>
      <sheetData sheetId="47">
        <row r="66">
          <cell r="D66">
            <v>0.74509803921568629</v>
          </cell>
        </row>
      </sheetData>
      <sheetData sheetId="48">
        <row r="60">
          <cell r="D60">
            <v>0.75609756097560976</v>
          </cell>
        </row>
      </sheetData>
      <sheetData sheetId="49">
        <row r="60">
          <cell r="D60">
            <v>0.7</v>
          </cell>
        </row>
      </sheetData>
      <sheetData sheetId="50">
        <row r="60">
          <cell r="D60">
            <v>0.81481481481481477</v>
          </cell>
        </row>
      </sheetData>
      <sheetData sheetId="51">
        <row r="60">
          <cell r="D60">
            <v>0.8</v>
          </cell>
        </row>
      </sheetData>
      <sheetData sheetId="52">
        <row r="60">
          <cell r="D60">
            <v>0.77777777777777779</v>
          </cell>
        </row>
      </sheetData>
      <sheetData sheetId="53">
        <row r="60">
          <cell r="D60">
            <v>0.72307692307692306</v>
          </cell>
        </row>
      </sheetData>
      <sheetData sheetId="54">
        <row r="60">
          <cell r="D60">
            <v>0.70833333333333337</v>
          </cell>
        </row>
      </sheetData>
      <sheetData sheetId="55">
        <row r="60">
          <cell r="D60">
            <v>0.74509803921568629</v>
          </cell>
        </row>
      </sheetData>
      <sheetData sheetId="56">
        <row r="60">
          <cell r="D60">
            <v>0.75409836065573765</v>
          </cell>
        </row>
      </sheetData>
      <sheetData sheetId="57">
        <row r="60">
          <cell r="D60">
            <v>0.68918918918918914</v>
          </cell>
        </row>
      </sheetData>
      <sheetData sheetId="58">
        <row r="60">
          <cell r="D60">
            <v>0.70491803278688525</v>
          </cell>
        </row>
      </sheetData>
      <sheetData sheetId="59">
        <row r="60">
          <cell r="D60">
            <v>0.70370370370370372</v>
          </cell>
        </row>
      </sheetData>
      <sheetData sheetId="60">
        <row r="60">
          <cell r="D60">
            <v>0.62745098039215685</v>
          </cell>
        </row>
      </sheetData>
      <sheetData sheetId="61">
        <row r="60">
          <cell r="D60">
            <v>0.77777777777777779</v>
          </cell>
        </row>
      </sheetData>
      <sheetData sheetId="62">
        <row r="60">
          <cell r="D60">
            <v>0.72916666666666663</v>
          </cell>
        </row>
      </sheetData>
      <sheetData sheetId="63">
        <row r="60">
          <cell r="D60">
            <v>0.77500000000000002</v>
          </cell>
        </row>
      </sheetData>
      <sheetData sheetId="64">
        <row r="60">
          <cell r="D60">
            <v>0.75510204081632648</v>
          </cell>
        </row>
      </sheetData>
      <sheetData sheetId="65">
        <row r="60">
          <cell r="D60">
            <v>0.77358490566037741</v>
          </cell>
        </row>
      </sheetData>
      <sheetData sheetId="66">
        <row r="59">
          <cell r="D59">
            <v>0.77966101694915257</v>
          </cell>
        </row>
      </sheetData>
      <sheetData sheetId="67">
        <row r="59">
          <cell r="D59">
            <v>0.765625</v>
          </cell>
        </row>
      </sheetData>
      <sheetData sheetId="68">
        <row r="60">
          <cell r="D60">
            <v>0.75</v>
          </cell>
        </row>
      </sheetData>
      <sheetData sheetId="69">
        <row r="60">
          <cell r="D60">
            <v>0.70175438596491224</v>
          </cell>
        </row>
      </sheetData>
      <sheetData sheetId="70">
        <row r="60">
          <cell r="D60">
            <v>0.76744186046511631</v>
          </cell>
        </row>
      </sheetData>
      <sheetData sheetId="71">
        <row r="60">
          <cell r="D60">
            <v>0.71186440677966101</v>
          </cell>
        </row>
      </sheetData>
      <sheetData sheetId="72"/>
      <sheetData sheetId="7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01EF-671D-4008-8603-5E943C58EBFF}">
  <dimension ref="A1"/>
  <sheetViews>
    <sheetView zoomScale="120" zoomScaleNormal="120" workbookViewId="0">
      <selection activeCell="I20" sqref="I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A70C-F720-4DD3-B145-35743D95D6C4}">
  <dimension ref="A1:N60"/>
  <sheetViews>
    <sheetView tabSelected="1" topLeftCell="B11" zoomScale="140" zoomScaleNormal="140" workbookViewId="0">
      <selection activeCell="G14" sqref="G14"/>
    </sheetView>
  </sheetViews>
  <sheetFormatPr baseColWidth="10" defaultRowHeight="15" x14ac:dyDescent="0.25"/>
  <cols>
    <col min="1" max="1" width="15" customWidth="1"/>
    <col min="2" max="2" width="12.85546875" customWidth="1"/>
    <col min="3" max="3" width="15.5703125" customWidth="1"/>
  </cols>
  <sheetData>
    <row r="1" spans="1:14" x14ac:dyDescent="0.25">
      <c r="A1" s="6" t="s">
        <v>72</v>
      </c>
      <c r="B1" s="6" t="s">
        <v>71</v>
      </c>
      <c r="C1" s="6" t="s">
        <v>70</v>
      </c>
      <c r="D1" s="6" t="s">
        <v>69</v>
      </c>
      <c r="E1" s="6" t="s">
        <v>68</v>
      </c>
      <c r="F1" s="6" t="s">
        <v>67</v>
      </c>
      <c r="G1" s="6" t="s">
        <v>66</v>
      </c>
      <c r="H1" s="6" t="s">
        <v>65</v>
      </c>
      <c r="I1" s="6" t="s">
        <v>64</v>
      </c>
      <c r="J1" s="6" t="s">
        <v>63</v>
      </c>
      <c r="K1" s="6" t="s">
        <v>62</v>
      </c>
      <c r="L1" s="6" t="s">
        <v>61</v>
      </c>
      <c r="M1" s="6" t="s">
        <v>60</v>
      </c>
      <c r="N1" s="6" t="s">
        <v>59</v>
      </c>
    </row>
    <row r="2" spans="1:14" x14ac:dyDescent="0.25">
      <c r="A2" s="6" t="s">
        <v>58</v>
      </c>
      <c r="B2" s="1">
        <f>[1]JANVIER_2017!$D$87</f>
        <v>0.71</v>
      </c>
      <c r="C2" s="1">
        <v>0.9</v>
      </c>
      <c r="D2" s="20"/>
      <c r="E2" s="8"/>
      <c r="G2" s="8"/>
    </row>
    <row r="3" spans="1:14" x14ac:dyDescent="0.25">
      <c r="A3" s="6" t="s">
        <v>57</v>
      </c>
      <c r="B3" s="1">
        <f>[1]FEVRIER_2017!$D$87</f>
        <v>0.8202247191011236</v>
      </c>
      <c r="C3" s="1">
        <v>0.9</v>
      </c>
      <c r="D3" s="20"/>
    </row>
    <row r="4" spans="1:14" x14ac:dyDescent="0.25">
      <c r="A4" s="6" t="s">
        <v>56</v>
      </c>
      <c r="B4" s="1">
        <f>[1]MARS_2017!$D$87</f>
        <v>0.82786885245901642</v>
      </c>
      <c r="C4" s="1">
        <v>0.9</v>
      </c>
      <c r="D4" s="20"/>
    </row>
    <row r="5" spans="1:14" x14ac:dyDescent="0.25">
      <c r="A5" s="6" t="s">
        <v>55</v>
      </c>
      <c r="B5" s="1">
        <f>[1]AVRIL_2017!$D$87</f>
        <v>0.79807692307692313</v>
      </c>
      <c r="C5" s="1">
        <v>0.9</v>
      </c>
      <c r="D5" s="20"/>
    </row>
    <row r="6" spans="1:14" x14ac:dyDescent="0.25">
      <c r="A6" s="6" t="s">
        <v>54</v>
      </c>
      <c r="B6" s="1">
        <f>[1]MAI_2017!$D$87</f>
        <v>0.82242990654205606</v>
      </c>
      <c r="C6" s="1">
        <v>0.9</v>
      </c>
      <c r="D6" s="20"/>
    </row>
    <row r="7" spans="1:14" x14ac:dyDescent="0.25">
      <c r="A7" s="6" t="s">
        <v>53</v>
      </c>
      <c r="B7" s="1">
        <f>[1]JUIN_2017!$D$87</f>
        <v>0.77600000000000002</v>
      </c>
      <c r="C7" s="1">
        <v>0.9</v>
      </c>
      <c r="D7" s="20"/>
    </row>
    <row r="8" spans="1:14" x14ac:dyDescent="0.25">
      <c r="A8" s="6" t="s">
        <v>52</v>
      </c>
      <c r="B8" s="1">
        <f>[1]JUILLET_2017!$D$87</f>
        <v>0.75471698113207553</v>
      </c>
      <c r="C8" s="1">
        <v>0.9</v>
      </c>
      <c r="D8" s="20"/>
    </row>
    <row r="9" spans="1:14" x14ac:dyDescent="0.25">
      <c r="A9" s="6" t="s">
        <v>51</v>
      </c>
      <c r="B9" s="7">
        <f>[1]AOUT_2017!$D$67</f>
        <v>0.79104477611940294</v>
      </c>
      <c r="C9" s="1">
        <v>0.9</v>
      </c>
      <c r="D9" s="20"/>
    </row>
    <row r="10" spans="1:14" ht="30" x14ac:dyDescent="0.25">
      <c r="A10" s="6" t="s">
        <v>50</v>
      </c>
      <c r="B10" s="7">
        <f>[1]SEP_2017!$D$67</f>
        <v>0.80645161290322576</v>
      </c>
      <c r="C10" s="1">
        <v>0.9</v>
      </c>
      <c r="D10" s="20"/>
    </row>
    <row r="11" spans="1:14" x14ac:dyDescent="0.25">
      <c r="A11" s="6" t="s">
        <v>49</v>
      </c>
      <c r="B11" s="7">
        <v>0.90569999999999995</v>
      </c>
      <c r="C11" s="1">
        <v>0.9</v>
      </c>
      <c r="D11" s="20"/>
    </row>
    <row r="12" spans="1:14" ht="30" x14ac:dyDescent="0.25">
      <c r="A12" s="6" t="s">
        <v>48</v>
      </c>
      <c r="B12" s="7">
        <v>0.84209999999999996</v>
      </c>
      <c r="C12" s="1">
        <v>0.9</v>
      </c>
      <c r="D12" s="20"/>
    </row>
    <row r="13" spans="1:14" ht="30" x14ac:dyDescent="0.25">
      <c r="A13" s="6" t="s">
        <v>47</v>
      </c>
      <c r="B13" s="7">
        <f>[1]DECEMBRE_2017!$D$66</f>
        <v>0.81553398058252424</v>
      </c>
      <c r="C13" s="1">
        <v>0.9</v>
      </c>
      <c r="D13" s="20"/>
    </row>
    <row r="14" spans="1:14" x14ac:dyDescent="0.25">
      <c r="A14" s="6" t="s">
        <v>46</v>
      </c>
      <c r="B14" s="5">
        <f>[1]JANVIER_2018!$D$66</f>
        <v>0.74242424242424243</v>
      </c>
      <c r="C14" s="1">
        <v>0.9</v>
      </c>
      <c r="D14" s="1">
        <f>E2+F2</f>
        <v>0</v>
      </c>
    </row>
    <row r="15" spans="1:14" x14ac:dyDescent="0.25">
      <c r="A15" s="3" t="s">
        <v>45</v>
      </c>
      <c r="B15" s="5">
        <f>[1]FEVRIER_2018!$D$66</f>
        <v>0.69696969696969702</v>
      </c>
      <c r="C15" s="1">
        <v>0.9</v>
      </c>
      <c r="D15" s="1">
        <v>0</v>
      </c>
    </row>
    <row r="16" spans="1:14" x14ac:dyDescent="0.25">
      <c r="A16" s="3" t="s">
        <v>44</v>
      </c>
      <c r="B16" s="5">
        <f>[1]MARS_2018!$D$66</f>
        <v>0.73913043478260865</v>
      </c>
      <c r="C16" s="1">
        <v>0.9</v>
      </c>
      <c r="D16" s="1">
        <v>0</v>
      </c>
    </row>
    <row r="17" spans="1:4" x14ac:dyDescent="0.25">
      <c r="A17" s="3" t="s">
        <v>43</v>
      </c>
      <c r="B17" s="5">
        <f>[1]AVRIL_2018!$D$66</f>
        <v>0.75409836065573765</v>
      </c>
      <c r="C17" s="1">
        <v>0.9</v>
      </c>
      <c r="D17" s="1">
        <v>0</v>
      </c>
    </row>
    <row r="18" spans="1:4" x14ac:dyDescent="0.25">
      <c r="A18" s="3" t="s">
        <v>42</v>
      </c>
      <c r="B18" s="5">
        <f>'[1]MAI_2018 '!$D$66</f>
        <v>0.67692307692307696</v>
      </c>
      <c r="C18" s="1">
        <v>0.9</v>
      </c>
      <c r="D18" s="1">
        <v>0</v>
      </c>
    </row>
    <row r="19" spans="1:4" x14ac:dyDescent="0.25">
      <c r="A19" s="3" t="s">
        <v>41</v>
      </c>
      <c r="B19" s="5">
        <f>'[1]JUIN_2018 '!$D$66</f>
        <v>0.75</v>
      </c>
      <c r="C19" s="1">
        <v>0.9</v>
      </c>
      <c r="D19" s="1">
        <v>0</v>
      </c>
    </row>
    <row r="20" spans="1:4" x14ac:dyDescent="0.25">
      <c r="A20" s="3" t="s">
        <v>40</v>
      </c>
      <c r="B20" s="5">
        <f>[1]JUILLET_2018!$D$66</f>
        <v>0.77941176470588236</v>
      </c>
      <c r="C20" s="1">
        <v>0.9</v>
      </c>
      <c r="D20" s="1">
        <v>0</v>
      </c>
    </row>
    <row r="21" spans="1:4" x14ac:dyDescent="0.25">
      <c r="A21" s="3" t="s">
        <v>39</v>
      </c>
      <c r="B21" s="5">
        <f>[1]AOUT_2018!$D$66</f>
        <v>0.75</v>
      </c>
      <c r="C21" s="1">
        <v>0.9</v>
      </c>
      <c r="D21" s="1">
        <v>0</v>
      </c>
    </row>
    <row r="22" spans="1:4" x14ac:dyDescent="0.25">
      <c r="A22" s="3" t="s">
        <v>38</v>
      </c>
      <c r="B22" s="5">
        <f>[1]Sep_2018!$D$66</f>
        <v>0.75</v>
      </c>
      <c r="C22" s="1">
        <v>0.9</v>
      </c>
      <c r="D22" s="1">
        <v>0</v>
      </c>
    </row>
    <row r="23" spans="1:4" x14ac:dyDescent="0.25">
      <c r="A23" s="3" t="s">
        <v>37</v>
      </c>
      <c r="B23" s="5">
        <f>[1]Octobre_2018!$D$66</f>
        <v>0.75</v>
      </c>
      <c r="C23" s="1">
        <v>0.9</v>
      </c>
      <c r="D23" s="1">
        <v>0</v>
      </c>
    </row>
    <row r="24" spans="1:4" x14ac:dyDescent="0.25">
      <c r="A24" s="3" t="s">
        <v>36</v>
      </c>
      <c r="B24" s="5">
        <f>[1]Novembre_2018!$D$66</f>
        <v>0.76363636363636367</v>
      </c>
      <c r="C24" s="1">
        <v>0.9</v>
      </c>
      <c r="D24" s="1">
        <v>0</v>
      </c>
    </row>
    <row r="25" spans="1:4" x14ac:dyDescent="0.25">
      <c r="A25" s="3" t="s">
        <v>35</v>
      </c>
      <c r="B25" s="5">
        <f>[1]DECEMBRE_2018!$D$66</f>
        <v>0.76991150442477874</v>
      </c>
      <c r="C25" s="1">
        <v>0.9</v>
      </c>
      <c r="D25" s="1">
        <v>0</v>
      </c>
    </row>
    <row r="26" spans="1:4" x14ac:dyDescent="0.25">
      <c r="A26" s="3" t="s">
        <v>34</v>
      </c>
      <c r="B26" s="5">
        <f>[1]JANVIER_2019!$D$66</f>
        <v>0.77777777777777779</v>
      </c>
      <c r="C26" s="1">
        <v>0.9</v>
      </c>
      <c r="D26" s="1">
        <v>0</v>
      </c>
    </row>
    <row r="27" spans="1:4" x14ac:dyDescent="0.25">
      <c r="A27" s="3" t="s">
        <v>33</v>
      </c>
      <c r="B27" s="5">
        <f>[1]FEVRIER_2019!$D$66</f>
        <v>0.734375</v>
      </c>
      <c r="C27" s="1">
        <v>0.9</v>
      </c>
      <c r="D27" s="1">
        <v>0</v>
      </c>
    </row>
    <row r="28" spans="1:4" x14ac:dyDescent="0.25">
      <c r="A28" s="3" t="s">
        <v>32</v>
      </c>
      <c r="B28" s="5">
        <f>[1]MARS_2019!$D$66</f>
        <v>0.7441860465116279</v>
      </c>
      <c r="C28" s="1">
        <v>0.9</v>
      </c>
      <c r="D28" s="1">
        <v>0</v>
      </c>
    </row>
    <row r="29" spans="1:4" x14ac:dyDescent="0.25">
      <c r="A29" s="3" t="s">
        <v>31</v>
      </c>
      <c r="B29" s="5">
        <f>[1]AVRIL_2019!$D$66</f>
        <v>0.70967741935483875</v>
      </c>
      <c r="C29" s="1">
        <v>0.9</v>
      </c>
      <c r="D29" s="1">
        <v>0</v>
      </c>
    </row>
    <row r="30" spans="1:4" x14ac:dyDescent="0.25">
      <c r="A30" s="3" t="s">
        <v>30</v>
      </c>
      <c r="B30" s="5">
        <f>[1]MAI_2019!$D$66</f>
        <v>0.72602739726027399</v>
      </c>
      <c r="C30" s="1">
        <v>0.9</v>
      </c>
      <c r="D30" s="1">
        <v>0</v>
      </c>
    </row>
    <row r="31" spans="1:4" x14ac:dyDescent="0.25">
      <c r="A31" s="3" t="s">
        <v>29</v>
      </c>
      <c r="B31" s="5">
        <f>[1]JUIN_2019!$D$66</f>
        <v>0.73786407766990292</v>
      </c>
      <c r="C31" s="1">
        <v>0.9</v>
      </c>
      <c r="D31" s="1">
        <v>0</v>
      </c>
    </row>
    <row r="32" spans="1:4" x14ac:dyDescent="0.25">
      <c r="A32" s="3" t="s">
        <v>28</v>
      </c>
      <c r="B32" s="5">
        <f>[1]JUILLET_2019!$D$66</f>
        <v>0.74242424242424243</v>
      </c>
      <c r="C32" s="1">
        <v>0.9</v>
      </c>
      <c r="D32" s="1">
        <v>0</v>
      </c>
    </row>
    <row r="33" spans="1:4" x14ac:dyDescent="0.25">
      <c r="A33" s="3" t="s">
        <v>27</v>
      </c>
      <c r="B33" s="5">
        <f>[1]AOUT_2019!$D$66</f>
        <v>0.70588235294117652</v>
      </c>
      <c r="C33" s="1">
        <v>0.9</v>
      </c>
      <c r="D33" s="1">
        <v>0</v>
      </c>
    </row>
    <row r="34" spans="1:4" x14ac:dyDescent="0.25">
      <c r="A34" s="3" t="s">
        <v>26</v>
      </c>
      <c r="B34" s="5">
        <f>[1]SEPTEMBRE_2019!$D$66</f>
        <v>0.74647887323943662</v>
      </c>
      <c r="C34" s="1">
        <v>0.9</v>
      </c>
      <c r="D34" s="1">
        <v>0</v>
      </c>
    </row>
    <row r="35" spans="1:4" x14ac:dyDescent="0.25">
      <c r="A35" s="3" t="s">
        <v>25</v>
      </c>
      <c r="B35" s="5">
        <f>[1]OCTOBRE_2019!$D$66</f>
        <v>0.74509803921568629</v>
      </c>
      <c r="C35" s="1">
        <v>0.9</v>
      </c>
      <c r="D35" s="1">
        <v>0</v>
      </c>
    </row>
    <row r="36" spans="1:4" x14ac:dyDescent="0.25">
      <c r="A36" s="3" t="s">
        <v>24</v>
      </c>
      <c r="B36" s="5">
        <f>[1]NOVEMBRE_2019!$D$66</f>
        <v>0.74509803921568629</v>
      </c>
      <c r="C36" s="1">
        <v>0.9</v>
      </c>
      <c r="D36" s="1">
        <v>0</v>
      </c>
    </row>
    <row r="37" spans="1:4" x14ac:dyDescent="0.25">
      <c r="A37" s="3" t="s">
        <v>23</v>
      </c>
      <c r="B37" s="5">
        <f>[1]DECEMBRE_2019!$D$60</f>
        <v>0.75609756097560976</v>
      </c>
      <c r="C37" s="1">
        <v>0.9</v>
      </c>
      <c r="D37" s="1">
        <v>0</v>
      </c>
    </row>
    <row r="38" spans="1:4" x14ac:dyDescent="0.25">
      <c r="A38" s="3" t="s">
        <v>22</v>
      </c>
      <c r="B38" s="5">
        <f>[1]JANVIER_2020!$D$60</f>
        <v>0.7</v>
      </c>
      <c r="C38" s="1">
        <v>0.9</v>
      </c>
      <c r="D38" s="1">
        <v>0</v>
      </c>
    </row>
    <row r="39" spans="1:4" x14ac:dyDescent="0.25">
      <c r="A39" s="3" t="s">
        <v>21</v>
      </c>
      <c r="B39" s="5">
        <f>[1]FEVRIER_2020!$D$60</f>
        <v>0.81481481481481477</v>
      </c>
      <c r="C39" s="1">
        <v>0.9</v>
      </c>
      <c r="D39" s="1">
        <v>0</v>
      </c>
    </row>
    <row r="40" spans="1:4" x14ac:dyDescent="0.25">
      <c r="A40" s="3" t="s">
        <v>20</v>
      </c>
      <c r="B40" s="5">
        <f>[1]MARS_2020!$D$60</f>
        <v>0.8</v>
      </c>
      <c r="C40" s="1">
        <v>0.9</v>
      </c>
      <c r="D40" s="1">
        <v>0</v>
      </c>
    </row>
    <row r="41" spans="1:4" x14ac:dyDescent="0.25">
      <c r="A41" s="3" t="s">
        <v>19</v>
      </c>
      <c r="B41" s="5">
        <f>[1]AVRIL_2020!$D$60</f>
        <v>0.77777777777777779</v>
      </c>
      <c r="C41" s="1">
        <v>0.9</v>
      </c>
      <c r="D41" s="1">
        <v>0</v>
      </c>
    </row>
    <row r="42" spans="1:4" x14ac:dyDescent="0.25">
      <c r="A42" s="3" t="s">
        <v>18</v>
      </c>
      <c r="B42" s="5">
        <f>[1]MAI_2020!$D$60</f>
        <v>0.72307692307692306</v>
      </c>
      <c r="C42" s="1">
        <v>0.9</v>
      </c>
      <c r="D42" s="1"/>
    </row>
    <row r="43" spans="1:4" x14ac:dyDescent="0.25">
      <c r="A43" s="3" t="s">
        <v>17</v>
      </c>
      <c r="B43" s="5">
        <f>[1]JUIN_2020!$D$60</f>
        <v>0.70833333333333337</v>
      </c>
      <c r="C43" s="1">
        <v>0.9</v>
      </c>
      <c r="D43" s="1"/>
    </row>
    <row r="44" spans="1:4" x14ac:dyDescent="0.25">
      <c r="A44" s="3" t="s">
        <v>16</v>
      </c>
      <c r="B44" s="5">
        <f>[1]JUILLET_2020!$D$60</f>
        <v>0.74509803921568629</v>
      </c>
      <c r="C44" s="1">
        <v>0.9</v>
      </c>
      <c r="D44" s="1"/>
    </row>
    <row r="45" spans="1:4" x14ac:dyDescent="0.25">
      <c r="A45" s="3" t="s">
        <v>15</v>
      </c>
      <c r="B45" s="5">
        <f>[1]AOUT_2020!$D$60</f>
        <v>0.75409836065573765</v>
      </c>
      <c r="C45" s="1">
        <v>0.9</v>
      </c>
      <c r="D45" s="1"/>
    </row>
    <row r="46" spans="1:4" x14ac:dyDescent="0.25">
      <c r="A46" s="3" t="s">
        <v>14</v>
      </c>
      <c r="B46" s="5">
        <f>[1]SEP_2020!$D$60</f>
        <v>0.68918918918918914</v>
      </c>
      <c r="C46" s="1">
        <v>0.9</v>
      </c>
      <c r="D46" s="1"/>
    </row>
    <row r="47" spans="1:4" x14ac:dyDescent="0.25">
      <c r="A47" s="3" t="s">
        <v>13</v>
      </c>
      <c r="B47" s="5">
        <f>[1]OCT_2020!$D$60</f>
        <v>0.70491803278688525</v>
      </c>
      <c r="C47" s="1">
        <v>0.9</v>
      </c>
      <c r="D47" s="1"/>
    </row>
    <row r="48" spans="1:4" x14ac:dyDescent="0.25">
      <c r="A48" s="3" t="s">
        <v>12</v>
      </c>
      <c r="B48" s="5">
        <f>[1]NOV_2020!$D$60</f>
        <v>0.70370370370370372</v>
      </c>
      <c r="C48" s="1">
        <v>0.9</v>
      </c>
      <c r="D48" s="1"/>
    </row>
    <row r="49" spans="1:4" x14ac:dyDescent="0.25">
      <c r="A49" s="3" t="s">
        <v>11</v>
      </c>
      <c r="B49" s="5">
        <f>[1]DECEMBRE_2020!$D$60</f>
        <v>0.62745098039215685</v>
      </c>
      <c r="C49" s="1">
        <v>0.9</v>
      </c>
      <c r="D49" s="1"/>
    </row>
    <row r="50" spans="1:4" x14ac:dyDescent="0.25">
      <c r="A50" s="3" t="s">
        <v>10</v>
      </c>
      <c r="B50" s="5">
        <f>[1]JANVIER_2021!$D$60</f>
        <v>0.77777777777777779</v>
      </c>
      <c r="C50" s="1">
        <v>0.9</v>
      </c>
      <c r="D50" s="1"/>
    </row>
    <row r="51" spans="1:4" x14ac:dyDescent="0.25">
      <c r="A51" s="3" t="s">
        <v>9</v>
      </c>
      <c r="B51" s="5">
        <f>[1]FEVRIER_2021!$D$60</f>
        <v>0.72916666666666663</v>
      </c>
      <c r="C51" s="1">
        <v>0.9</v>
      </c>
      <c r="D51" s="1"/>
    </row>
    <row r="52" spans="1:4" x14ac:dyDescent="0.25">
      <c r="A52" s="3" t="s">
        <v>8</v>
      </c>
      <c r="B52" s="5">
        <f>[1]MARS_2021!$D$60</f>
        <v>0.77500000000000002</v>
      </c>
      <c r="C52" s="1">
        <v>0.9</v>
      </c>
      <c r="D52" s="1"/>
    </row>
    <row r="53" spans="1:4" x14ac:dyDescent="0.25">
      <c r="A53" s="3" t="s">
        <v>7</v>
      </c>
      <c r="B53" s="4">
        <f>[1]AVRIL_2021!$D$60</f>
        <v>0.75510204081632648</v>
      </c>
      <c r="C53" s="1">
        <v>0.9</v>
      </c>
      <c r="D53" s="1"/>
    </row>
    <row r="54" spans="1:4" x14ac:dyDescent="0.25">
      <c r="A54" s="3" t="s">
        <v>6</v>
      </c>
      <c r="B54" s="2">
        <f>[1]MAI_2021!$D$60</f>
        <v>0.77358490566037741</v>
      </c>
      <c r="C54" s="1">
        <v>0.9</v>
      </c>
      <c r="D54" s="1"/>
    </row>
    <row r="55" spans="1:4" x14ac:dyDescent="0.25">
      <c r="A55" s="3" t="s">
        <v>5</v>
      </c>
      <c r="B55" s="2">
        <f>[1]JUIN_2021!$D$59</f>
        <v>0.77966101694915257</v>
      </c>
      <c r="C55" s="1">
        <v>0.9</v>
      </c>
      <c r="D55" s="1"/>
    </row>
    <row r="56" spans="1:4" x14ac:dyDescent="0.25">
      <c r="A56" s="3" t="s">
        <v>4</v>
      </c>
      <c r="B56" s="2">
        <f>[1]JUILLET_2021!$D$59</f>
        <v>0.765625</v>
      </c>
      <c r="C56" s="1">
        <v>0.9</v>
      </c>
      <c r="D56" s="1"/>
    </row>
    <row r="57" spans="1:4" x14ac:dyDescent="0.25">
      <c r="A57" s="3" t="s">
        <v>3</v>
      </c>
      <c r="B57" s="2">
        <f>[1]AOUT_2021!$D$60</f>
        <v>0.75</v>
      </c>
      <c r="C57" s="1">
        <v>0.9</v>
      </c>
      <c r="D57" s="1"/>
    </row>
    <row r="58" spans="1:4" x14ac:dyDescent="0.25">
      <c r="A58" s="3" t="s">
        <v>2</v>
      </c>
      <c r="B58" s="2">
        <f>[1]SEP_2021!$D$60</f>
        <v>0.70175438596491224</v>
      </c>
      <c r="C58" s="1">
        <v>0.9</v>
      </c>
      <c r="D58" s="1"/>
    </row>
    <row r="59" spans="1:4" x14ac:dyDescent="0.25">
      <c r="A59" s="3" t="s">
        <v>1</v>
      </c>
      <c r="B59" s="2">
        <f>[1]OCT_2021!$D$60</f>
        <v>0.76744186046511631</v>
      </c>
      <c r="C59" s="1">
        <v>0.9</v>
      </c>
      <c r="D59" s="1"/>
    </row>
    <row r="60" spans="1:4" x14ac:dyDescent="0.25">
      <c r="A60" s="3" t="s">
        <v>0</v>
      </c>
      <c r="B60" s="2">
        <f>[1]NOV_2021!$D$60</f>
        <v>0.71186440677966101</v>
      </c>
      <c r="C60" s="1">
        <v>0.9</v>
      </c>
      <c r="D60" s="1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9C46-9B3E-45CF-B492-2E1CCCBD0F37}">
  <dimension ref="A1:D15"/>
  <sheetViews>
    <sheetView zoomScale="130" zoomScaleNormal="130" workbookViewId="0">
      <selection activeCell="G19" sqref="G19"/>
    </sheetView>
  </sheetViews>
  <sheetFormatPr baseColWidth="10" defaultRowHeight="15" x14ac:dyDescent="0.25"/>
  <cols>
    <col min="2" max="2" width="15.7109375" customWidth="1"/>
    <col min="3" max="3" width="14.5703125" customWidth="1"/>
  </cols>
  <sheetData>
    <row r="1" spans="1:4" ht="30" x14ac:dyDescent="0.25">
      <c r="A1" s="10" t="s">
        <v>84</v>
      </c>
      <c r="B1" s="11" t="s">
        <v>85</v>
      </c>
      <c r="C1" s="11" t="s">
        <v>88</v>
      </c>
      <c r="D1" s="11" t="s">
        <v>89</v>
      </c>
    </row>
    <row r="2" spans="1:4" ht="15.75" x14ac:dyDescent="0.25">
      <c r="A2" s="12" t="s">
        <v>73</v>
      </c>
      <c r="B2" s="13">
        <v>0.99450000000000005</v>
      </c>
      <c r="C2" s="19">
        <v>1</v>
      </c>
      <c r="D2" s="19"/>
    </row>
    <row r="3" spans="1:4" ht="15.75" x14ac:dyDescent="0.25">
      <c r="A3" s="12" t="s">
        <v>74</v>
      </c>
      <c r="B3" s="14">
        <v>0.997</v>
      </c>
      <c r="C3" s="19">
        <v>1</v>
      </c>
      <c r="D3" s="19"/>
    </row>
    <row r="4" spans="1:4" ht="15.75" x14ac:dyDescent="0.25">
      <c r="A4" s="12" t="s">
        <v>75</v>
      </c>
      <c r="B4" s="14">
        <v>0.99650000000000005</v>
      </c>
      <c r="C4" s="19">
        <v>1</v>
      </c>
      <c r="D4" s="19"/>
    </row>
    <row r="5" spans="1:4" ht="15.75" x14ac:dyDescent="0.25">
      <c r="A5" s="12" t="s">
        <v>76</v>
      </c>
      <c r="B5" s="14">
        <v>0.99790000000000001</v>
      </c>
      <c r="C5" s="19">
        <v>1</v>
      </c>
      <c r="D5" s="19"/>
    </row>
    <row r="6" spans="1:4" ht="15.75" x14ac:dyDescent="0.25">
      <c r="A6" s="12" t="s">
        <v>77</v>
      </c>
      <c r="B6" s="15">
        <v>0.99339999999999995</v>
      </c>
      <c r="C6" s="19">
        <v>1</v>
      </c>
      <c r="D6" s="19"/>
    </row>
    <row r="7" spans="1:4" ht="15.75" x14ac:dyDescent="0.25">
      <c r="A7" s="12" t="s">
        <v>78</v>
      </c>
      <c r="B7" s="16">
        <v>0.95845000000000002</v>
      </c>
      <c r="C7" s="19">
        <v>1</v>
      </c>
      <c r="D7" s="19"/>
    </row>
    <row r="8" spans="1:4" ht="15.75" x14ac:dyDescent="0.25">
      <c r="A8" s="12" t="s">
        <v>79</v>
      </c>
      <c r="B8" s="16">
        <v>0.99909999999999999</v>
      </c>
      <c r="C8" s="19">
        <v>1</v>
      </c>
      <c r="D8" s="19"/>
    </row>
    <row r="9" spans="1:4" ht="15.75" x14ac:dyDescent="0.25">
      <c r="A9" s="12" t="s">
        <v>80</v>
      </c>
      <c r="B9" s="16">
        <v>0.97575999999999996</v>
      </c>
      <c r="C9" s="19">
        <v>1</v>
      </c>
      <c r="D9" s="19"/>
    </row>
    <row r="10" spans="1:4" ht="15.75" x14ac:dyDescent="0.25">
      <c r="A10" s="12" t="s">
        <v>81</v>
      </c>
      <c r="B10" s="16">
        <v>0.99714999999999998</v>
      </c>
      <c r="C10" s="19">
        <v>1</v>
      </c>
      <c r="D10" s="19"/>
    </row>
    <row r="11" spans="1:4" ht="15.75" x14ac:dyDescent="0.25">
      <c r="A11" s="12" t="s">
        <v>82</v>
      </c>
      <c r="B11" s="16">
        <v>0.98167000000000004</v>
      </c>
      <c r="C11" s="19">
        <v>1</v>
      </c>
      <c r="D11" s="19"/>
    </row>
    <row r="12" spans="1:4" ht="15.75" x14ac:dyDescent="0.25">
      <c r="A12" s="12" t="s">
        <v>83</v>
      </c>
      <c r="B12" s="16">
        <v>0.97389999999999999</v>
      </c>
      <c r="C12" s="19">
        <v>1</v>
      </c>
      <c r="D12" s="19"/>
    </row>
    <row r="13" spans="1:4" ht="15.75" x14ac:dyDescent="0.25">
      <c r="A13" s="18" t="s">
        <v>90</v>
      </c>
      <c r="B13" s="17"/>
    </row>
    <row r="14" spans="1:4" ht="15.75" x14ac:dyDescent="0.25">
      <c r="A14" s="18" t="s">
        <v>91</v>
      </c>
    </row>
    <row r="15" spans="1:4" ht="15.75" x14ac:dyDescent="0.25">
      <c r="A15" s="18" t="s">
        <v>89</v>
      </c>
      <c r="B15" s="1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E7FD-F878-495A-BCE7-59E29FD64BE3}">
  <dimension ref="A1:D12"/>
  <sheetViews>
    <sheetView workbookViewId="0">
      <selection activeCell="E29" sqref="E29"/>
    </sheetView>
  </sheetViews>
  <sheetFormatPr baseColWidth="10" defaultRowHeight="15" x14ac:dyDescent="0.25"/>
  <cols>
    <col min="2" max="2" width="15.140625" customWidth="1"/>
    <col min="4" max="4" width="14.42578125" customWidth="1"/>
  </cols>
  <sheetData>
    <row r="1" spans="1:4" ht="30" x14ac:dyDescent="0.25">
      <c r="A1" s="10" t="s">
        <v>84</v>
      </c>
      <c r="B1" s="11" t="s">
        <v>86</v>
      </c>
      <c r="C1" s="11" t="s">
        <v>87</v>
      </c>
      <c r="D1" s="11" t="s">
        <v>89</v>
      </c>
    </row>
    <row r="2" spans="1:4" ht="15.75" x14ac:dyDescent="0.25">
      <c r="A2" s="12" t="s">
        <v>73</v>
      </c>
      <c r="B2" s="13">
        <v>3.0700000000000002E-2</v>
      </c>
      <c r="C2" s="9"/>
      <c r="D2" s="9"/>
    </row>
    <row r="3" spans="1:4" ht="15.75" x14ac:dyDescent="0.25">
      <c r="A3" s="12" t="s">
        <v>74</v>
      </c>
      <c r="B3" s="14">
        <v>2.1000000000000001E-2</v>
      </c>
      <c r="C3" s="9"/>
      <c r="D3" s="9"/>
    </row>
    <row r="4" spans="1:4" ht="15.75" x14ac:dyDescent="0.25">
      <c r="A4" s="12" t="s">
        <v>75</v>
      </c>
      <c r="B4" s="14">
        <v>6.9099999999999995E-2</v>
      </c>
      <c r="C4" s="9"/>
      <c r="D4" s="9"/>
    </row>
    <row r="5" spans="1:4" ht="15.75" x14ac:dyDescent="0.25">
      <c r="A5" s="12" t="s">
        <v>76</v>
      </c>
      <c r="B5" s="14">
        <v>4.1799999999999997E-2</v>
      </c>
      <c r="C5" s="9"/>
      <c r="D5" s="9"/>
    </row>
    <row r="6" spans="1:4" ht="15.75" x14ac:dyDescent="0.25">
      <c r="A6" s="12" t="s">
        <v>77</v>
      </c>
      <c r="B6" s="16">
        <v>1.4200000000000001E-2</v>
      </c>
      <c r="C6" s="9"/>
      <c r="D6" s="9"/>
    </row>
    <row r="7" spans="1:4" ht="15.75" x14ac:dyDescent="0.25">
      <c r="A7" s="12" t="s">
        <v>78</v>
      </c>
      <c r="B7" s="16">
        <v>0.1552</v>
      </c>
      <c r="C7" s="9"/>
      <c r="D7" s="9"/>
    </row>
    <row r="8" spans="1:4" ht="15.75" x14ac:dyDescent="0.25">
      <c r="A8" s="12" t="s">
        <v>79</v>
      </c>
      <c r="B8" s="16">
        <v>2.0299999999999999E-2</v>
      </c>
      <c r="C8" s="9"/>
      <c r="D8" s="9"/>
    </row>
    <row r="9" spans="1:4" ht="15.75" x14ac:dyDescent="0.25">
      <c r="A9" s="12" t="s">
        <v>80</v>
      </c>
      <c r="B9" s="16">
        <v>8.5000000000000006E-3</v>
      </c>
      <c r="C9" s="9"/>
      <c r="D9" s="9"/>
    </row>
    <row r="10" spans="1:4" ht="15.75" x14ac:dyDescent="0.25">
      <c r="A10" s="12" t="s">
        <v>81</v>
      </c>
      <c r="B10" s="16">
        <v>3.2500000000000001E-2</v>
      </c>
      <c r="C10" s="9"/>
      <c r="D10" s="9"/>
    </row>
    <row r="11" spans="1:4" ht="15.75" x14ac:dyDescent="0.25">
      <c r="A11" s="12" t="s">
        <v>82</v>
      </c>
      <c r="B11" s="16">
        <v>4.1700000000000001E-2</v>
      </c>
      <c r="C11" s="9"/>
      <c r="D11" s="9"/>
    </row>
    <row r="12" spans="1:4" ht="15.75" x14ac:dyDescent="0.25">
      <c r="A12" s="12" t="s">
        <v>83</v>
      </c>
      <c r="B12" s="16">
        <v>6.4699999999999994E-2</v>
      </c>
      <c r="C12" s="9"/>
      <c r="D12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Consignes</vt:lpstr>
      <vt:lpstr>Taux_d'éffarouchement_Réussi</vt:lpstr>
      <vt:lpstr>Maintenance préventive</vt:lpstr>
      <vt:lpstr>FPL_Manquant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CSQ</dc:creator>
  <cp:lastModifiedBy>MOUSTAPHA Amadou Roufaï</cp:lastModifiedBy>
  <dcterms:created xsi:type="dcterms:W3CDTF">2022-01-11T22:36:54Z</dcterms:created>
  <dcterms:modified xsi:type="dcterms:W3CDTF">2026-02-03T21:12:53Z</dcterms:modified>
</cp:coreProperties>
</file>